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color rgb="00FFFFFF"/>
    </font>
    <font>
      <b val="1"/>
      <color rgb="001F2937"/>
      <sz val="12"/>
    </font>
    <font>
      <b val="1"/>
      <color rgb="001F2937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97706"/>
        <b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 ht="28" customHeight="1">
      <c r="A1" s="1" t="inlineStr">
        <is>
          <t>BALANCE SHEET — as at December 31, 2025 (KES)</t>
        </is>
      </c>
    </row>
    <row r="3">
      <c r="A3" s="2" t="inlineStr">
        <is>
          <t>Line item</t>
        </is>
      </c>
      <c r="B3" s="2" t="inlineStr">
        <is>
          <t>2025</t>
        </is>
      </c>
      <c r="C3" s="2" t="inlineStr">
        <is>
          <t>2024</t>
        </is>
      </c>
    </row>
    <row r="5">
      <c r="A5" s="3" t="inlineStr">
        <is>
          <t>ASSETS</t>
        </is>
      </c>
    </row>
    <row r="6">
      <c r="A6" s="4" t="inlineStr">
        <is>
          <t>Current assets</t>
        </is>
      </c>
    </row>
    <row r="7">
      <c r="A7" t="inlineStr">
        <is>
          <t xml:space="preserve">  Cash &amp; cash equivalents</t>
        </is>
      </c>
      <c r="B7" s="5" t="n">
        <v>18000000</v>
      </c>
      <c r="C7" s="5" t="n">
        <v>12200000</v>
      </c>
    </row>
    <row r="8">
      <c r="A8" t="inlineStr">
        <is>
          <t xml:space="preserve">  Accounts receivable</t>
        </is>
      </c>
      <c r="B8" s="5" t="n">
        <v>22400000</v>
      </c>
      <c r="C8" s="5" t="n">
        <v>18800000</v>
      </c>
    </row>
    <row r="9">
      <c r="A9" t="inlineStr">
        <is>
          <t xml:space="preserve">  Inventory</t>
        </is>
      </c>
      <c r="B9" s="5" t="n">
        <v>8200000</v>
      </c>
      <c r="C9" s="5" t="n">
        <v>9400000</v>
      </c>
    </row>
    <row r="10">
      <c r="A10" s="4" t="inlineStr">
        <is>
          <t>Total current assets</t>
        </is>
      </c>
      <c r="B10" s="6">
        <f>B7+B8+B9</f>
        <v/>
      </c>
      <c r="C10" s="6">
        <f>C7+C8+C9</f>
        <v/>
      </c>
    </row>
    <row r="12">
      <c r="A12" s="4" t="inlineStr">
        <is>
          <t>Non-current assets</t>
        </is>
      </c>
    </row>
    <row r="13">
      <c r="A13" t="inlineStr">
        <is>
          <t xml:space="preserve">  Property, plant &amp; equipment (net)</t>
        </is>
      </c>
      <c r="B13" s="5" t="n">
        <v>32000000</v>
      </c>
      <c r="C13" s="5" t="n">
        <v>28000000</v>
      </c>
    </row>
    <row r="14">
      <c r="A14" t="inlineStr">
        <is>
          <t xml:space="preserve">  Intangible assets</t>
        </is>
      </c>
      <c r="B14" s="5" t="n">
        <v>4500000</v>
      </c>
      <c r="C14" s="5" t="n">
        <v>4800000</v>
      </c>
    </row>
    <row r="15">
      <c r="A15" s="4" t="inlineStr">
        <is>
          <t>Total non-current assets</t>
        </is>
      </c>
      <c r="B15" s="6">
        <f>B13+B14</f>
        <v/>
      </c>
      <c r="C15" s="6">
        <f>C13+C14</f>
        <v/>
      </c>
    </row>
    <row r="16">
      <c r="A16" s="3" t="inlineStr">
        <is>
          <t>TOTAL ASSETS</t>
        </is>
      </c>
      <c r="B16" s="7">
        <f>B10+B15</f>
        <v/>
      </c>
      <c r="C16" s="7">
        <f>C10+C15</f>
        <v/>
      </c>
    </row>
    <row r="18">
      <c r="A18" s="3" t="inlineStr">
        <is>
          <t>LIABILITIES &amp; EQUITY</t>
        </is>
      </c>
    </row>
    <row r="19">
      <c r="A19" s="4" t="inlineStr">
        <is>
          <t>Current liabilities</t>
        </is>
      </c>
    </row>
    <row r="20">
      <c r="A20" t="inlineStr">
        <is>
          <t xml:space="preserve">  Accounts payable</t>
        </is>
      </c>
      <c r="B20" s="5" t="n">
        <v>14200000</v>
      </c>
      <c r="C20" s="5" t="n">
        <v>12800000</v>
      </c>
    </row>
    <row r="21">
      <c r="A21" t="inlineStr">
        <is>
          <t xml:space="preserve">  Short-term debt</t>
        </is>
      </c>
      <c r="B21" s="5" t="n">
        <v>5500000</v>
      </c>
      <c r="C21" s="5" t="n">
        <v>4800000</v>
      </c>
    </row>
    <row r="22">
      <c r="A22" s="4" t="inlineStr">
        <is>
          <t>Total current liabilities</t>
        </is>
      </c>
      <c r="B22" s="6">
        <f>B20+B21</f>
        <v/>
      </c>
      <c r="C22" s="6">
        <f>C20+C21</f>
        <v/>
      </c>
    </row>
    <row r="24">
      <c r="A24" s="4" t="inlineStr">
        <is>
          <t>Non-current liabilities</t>
        </is>
      </c>
    </row>
    <row r="25">
      <c r="A25" t="inlineStr">
        <is>
          <t xml:space="preserve">  Long-term debt</t>
        </is>
      </c>
      <c r="B25" s="5" t="n">
        <v>18200000</v>
      </c>
      <c r="C25" s="5" t="n">
        <v>16400000</v>
      </c>
    </row>
    <row r="26">
      <c r="A26" s="4" t="inlineStr">
        <is>
          <t>Total non-current liabilities</t>
        </is>
      </c>
      <c r="B26" s="6">
        <f>B25</f>
        <v/>
      </c>
      <c r="C26" s="6">
        <f>C25</f>
        <v/>
      </c>
    </row>
    <row r="27">
      <c r="A27" s="3" t="inlineStr">
        <is>
          <t>TOTAL LIABILITIES</t>
        </is>
      </c>
      <c r="B27" s="7">
        <f>B22+B26</f>
        <v/>
      </c>
      <c r="C27" s="7">
        <f>C22+C26</f>
        <v/>
      </c>
    </row>
    <row r="29">
      <c r="A29" s="4" t="inlineStr">
        <is>
          <t>Equity</t>
        </is>
      </c>
    </row>
    <row r="30">
      <c r="A30" t="inlineStr">
        <is>
          <t xml:space="preserve">  Share capital</t>
        </is>
      </c>
      <c r="B30" s="5" t="n">
        <v>20000000</v>
      </c>
      <c r="C30" s="5" t="n">
        <v>20000000</v>
      </c>
    </row>
    <row r="31">
      <c r="A31" t="inlineStr">
        <is>
          <t xml:space="preserve">  Retained earnings</t>
        </is>
      </c>
      <c r="B31" s="5">
        <f>B16-B27-B30</f>
        <v/>
      </c>
      <c r="C31" s="5">
        <f>C16-C27-C30</f>
        <v/>
      </c>
    </row>
    <row r="32">
      <c r="A32" s="3" t="inlineStr">
        <is>
          <t>TOTAL EQUITY</t>
        </is>
      </c>
      <c r="B32" s="7">
        <f>B30+B31</f>
        <v/>
      </c>
      <c r="C32" s="7">
        <f>C30+C31</f>
        <v/>
      </c>
    </row>
    <row r="33">
      <c r="A33" s="3" t="inlineStr">
        <is>
          <t>TOTAL LIABILITIES &amp; EQUITY</t>
        </is>
      </c>
      <c r="B33" s="7">
        <f>B27+B32</f>
        <v/>
      </c>
      <c r="C33" s="7">
        <f>C27+C32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2026-10-06T14:07:38Z</dcterms:created>
  <dcterms:modified xmlns:dcterms="http://purl.org/dc/terms/" xmlns:xsi="http://www.w3.org/2001/XMLSchema-instance" xsi:type="dcterms:W3CDTF">2026-10-06T14:07:38Z</dcterms:modified>
</cp:coreProperties>
</file>