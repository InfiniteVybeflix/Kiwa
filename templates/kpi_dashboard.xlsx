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97706"/>
        <b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KPI DASHBOARD — Q3 2025</t>
        </is>
      </c>
    </row>
    <row r="3">
      <c r="A3" s="2" t="inlineStr">
        <is>
          <t>KPI</t>
        </is>
      </c>
      <c r="B3" s="2" t="inlineStr">
        <is>
          <t>Unit</t>
        </is>
      </c>
      <c r="C3" s="2" t="inlineStr">
        <is>
          <t>Q2 Actual</t>
        </is>
      </c>
      <c r="D3" s="2" t="inlineStr">
        <is>
          <t>Q3 Target</t>
        </is>
      </c>
      <c r="E3" s="2" t="inlineStr">
        <is>
          <t>Q3 Actual</t>
        </is>
      </c>
      <c r="F3" s="2" t="inlineStr">
        <is>
          <t>Status</t>
        </is>
      </c>
    </row>
    <row r="4">
      <c r="A4" t="inlineStr">
        <is>
          <t>Revenue (KES)</t>
        </is>
      </c>
      <c r="B4" t="inlineStr">
        <is>
          <t>M</t>
        </is>
      </c>
      <c r="C4" t="n">
        <v>120</v>
      </c>
      <c r="D4" t="n">
        <v>138</v>
      </c>
      <c r="E4" t="n">
        <v>142</v>
      </c>
      <c r="F4">
        <f>IF(E4&gt;=D4,"✓ On track",IF(E4&gt;=D4*0.95,"⚠ At risk","✗ Below"))</f>
        <v/>
      </c>
    </row>
    <row r="5">
      <c r="A5" t="inlineStr">
        <is>
          <t>Gross margin</t>
        </is>
      </c>
      <c r="B5" t="inlineStr">
        <is>
          <t>%</t>
        </is>
      </c>
      <c r="C5" t="n">
        <v>31</v>
      </c>
      <c r="D5" t="n">
        <v>30</v>
      </c>
      <c r="E5" t="n">
        <v>28</v>
      </c>
      <c r="F5">
        <f>IF(E5&gt;=D5,"✓ On track",IF(E5&gt;=D5*0.95,"⚠ At risk","✗ Below"))</f>
        <v/>
      </c>
    </row>
    <row r="6">
      <c r="A6" t="inlineStr">
        <is>
          <t>Active customers</t>
        </is>
      </c>
      <c r="B6" t="inlineStr">
        <is>
          <t>k</t>
        </is>
      </c>
      <c r="C6" t="n">
        <v>11.4</v>
      </c>
      <c r="D6" t="n">
        <v>13.2</v>
      </c>
      <c r="E6" t="n">
        <v>13.45</v>
      </c>
      <c r="F6">
        <f>IF(E6&gt;=D6,"✓ On track",IF(E6&gt;=D6*0.95,"⚠ At risk","✗ Below"))</f>
        <v/>
      </c>
    </row>
    <row r="7">
      <c r="A7" t="inlineStr">
        <is>
          <t>Net new customers</t>
        </is>
      </c>
      <c r="B7" t="inlineStr">
        <is>
          <t>k</t>
        </is>
      </c>
      <c r="C7" t="n">
        <v>1.82</v>
      </c>
      <c r="D7" t="n">
        <v>1.8</v>
      </c>
      <c r="E7" t="n">
        <v>2.05</v>
      </c>
      <c r="F7">
        <f>IF(E7&gt;=D7,"✓ On track",IF(E7&gt;=D7*0.95,"⚠ At risk","✗ Below"))</f>
        <v/>
      </c>
    </row>
    <row r="8">
      <c r="A8" t="inlineStr">
        <is>
          <t>Churn rate</t>
        </is>
      </c>
      <c r="B8" t="inlineStr">
        <is>
          <t>%</t>
        </is>
      </c>
      <c r="C8" t="n">
        <v>4.1</v>
      </c>
      <c r="D8" t="n">
        <v>4</v>
      </c>
      <c r="E8" t="n">
        <v>3.8</v>
      </c>
      <c r="F8">
        <f>IF(E8&lt;=D8,"✓ On track",IF(E8&lt;=D8*1.1,"⚠ At risk","�x Above"))</f>
        <v/>
      </c>
    </row>
    <row r="9">
      <c r="A9" t="inlineStr">
        <is>
          <t>NPS</t>
        </is>
      </c>
      <c r="B9" t="inlineStr">
        <is>
          <t>score</t>
        </is>
      </c>
      <c r="C9" t="n">
        <v>42</v>
      </c>
      <c r="D9" t="n">
        <v>45</v>
      </c>
      <c r="E9" t="n">
        <v>47</v>
      </c>
      <c r="F9">
        <f>IF(E9&gt;=D9,"✓ On track",IF(E9&gt;=D9*0.95,"⚠ At risk","✗ Below"))</f>
        <v/>
      </c>
    </row>
    <row r="10">
      <c r="A10" t="inlineStr">
        <is>
          <t>MTTR for P1/P2 (min)</t>
        </is>
      </c>
      <c r="B10" t="inlineStr">
        <is>
          <t>min</t>
        </is>
      </c>
      <c r="C10" t="n">
        <v>47</v>
      </c>
      <c r="D10" t="n">
        <v>35</v>
      </c>
      <c r="E10" t="n">
        <v>31</v>
      </c>
      <c r="F10">
        <f>IF(E10&lt;=D10,"✓ On track",IF(E10&lt;=D10*1.1,"⚠ At risk","�x Above"))</f>
        <v/>
      </c>
    </row>
    <row r="11">
      <c r="A11" t="inlineStr">
        <is>
          <t>Uptime</t>
        </is>
      </c>
      <c r="B11" t="inlineStr">
        <is>
          <t>%</t>
        </is>
      </c>
      <c r="C11" t="n">
        <v>99.92</v>
      </c>
      <c r="D11" t="n">
        <v>99.90000000000001</v>
      </c>
      <c r="E11" t="n">
        <v>99.94</v>
      </c>
      <c r="F11">
        <f>IF(E11&gt;=D11,"✓ On track",IF(E11&gt;=D11*0.95,"⚠ At risk","✗ Below"))</f>
        <v/>
      </c>
    </row>
    <row r="12">
      <c r="A12" t="inlineStr">
        <is>
          <t>CSAT (post-resolution)</t>
        </is>
      </c>
      <c r="B12" t="inlineStr">
        <is>
          <t>/5</t>
        </is>
      </c>
      <c r="C12" t="n">
        <v>4</v>
      </c>
      <c r="D12" t="n">
        <v>4.3</v>
      </c>
      <c r="E12" t="n">
        <v>4.4</v>
      </c>
      <c r="F12">
        <f>IF(E12&gt;=D12,"✓ On track",IF(E12&gt;=D12*0.95,"⚠ At risk","✗ Below"))</f>
        <v/>
      </c>
    </row>
    <row r="13">
      <c r="A13" t="inlineStr">
        <is>
          <t>Avg. response time (hrs)</t>
        </is>
      </c>
      <c r="B13" t="inlineStr">
        <is>
          <t>hrs</t>
        </is>
      </c>
      <c r="C13" t="n">
        <v>4.2</v>
      </c>
      <c r="D13" t="n">
        <v>3</v>
      </c>
      <c r="E13" t="n">
        <v>2.6</v>
      </c>
      <c r="F13">
        <f>IF(E13&lt;=D13,"✓ On track",IF(E13&lt;=D13*1.1,"⚠ At risk","�x Above"))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2026-10-06T14:07:38Z</dcterms:created>
  <dcterms:modified xmlns:dcterms="http://purl.org/dc/terms/" xmlns:xsi="http://www.w3.org/2001/XMLSchema-instance" xsi:type="dcterms:W3CDTF">2026-10-06T14:07:38Z</dcterms:modified>
</cp:coreProperties>
</file>