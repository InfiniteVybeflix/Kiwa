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OKR TRACKER — Q4 2025</t>
        </is>
      </c>
    </row>
    <row r="3">
      <c r="A3" s="2" t="inlineStr">
        <is>
          <t>Objective</t>
        </is>
      </c>
      <c r="B3" s="2" t="inlineStr">
        <is>
          <t>Key Result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Current</t>
        </is>
      </c>
      <c r="F3" s="2" t="inlineStr">
        <is>
          <t>Target</t>
        </is>
      </c>
      <c r="G3" s="2" t="inlineStr">
        <is>
          <t>% done</t>
        </is>
      </c>
    </row>
    <row r="4">
      <c r="A4" t="inlineStr">
        <is>
          <t>Grow mobile engagement</t>
        </is>
      </c>
      <c r="B4" t="inlineStr">
        <is>
          <t>Increase 30-day retention from 41% to 50%</t>
        </is>
      </c>
      <c r="C4" t="inlineStr">
        <is>
          <t>Alex M.</t>
        </is>
      </c>
      <c r="D4" t="n">
        <v>41</v>
      </c>
      <c r="E4" t="n">
        <v>44</v>
      </c>
      <c r="F4" t="n">
        <v>50</v>
      </c>
      <c r="G4" s="3">
        <f>IF(D4=F4,1,IF(F4&gt;D4,MIN(1,(E4-D4)/(F4-D4)),MIN(1,(D4-E4)/(D4-F4))))</f>
        <v/>
      </c>
    </row>
    <row r="5">
      <c r="A5" t="inlineStr">
        <is>
          <t>Grow mobile engagement</t>
        </is>
      </c>
      <c r="B5" t="inlineStr">
        <is>
          <t>Reduce onboarding drop-off from 6.1% to 4.0%</t>
        </is>
      </c>
      <c r="C5" t="inlineStr">
        <is>
          <t>Alex M.</t>
        </is>
      </c>
      <c r="D5" t="n">
        <v>6.1</v>
      </c>
      <c r="E5" t="n">
        <v>4.4</v>
      </c>
      <c r="F5" t="n">
        <v>4</v>
      </c>
      <c r="G5" s="3">
        <f>IF(D5=F5,1,IF(F5&gt;D5,MIN(1,(E5-D5)/(F5-D5)),MIN(1,(D5-E5)/(D5-F5))))</f>
        <v/>
      </c>
    </row>
    <row r="6">
      <c r="A6" t="inlineStr">
        <is>
          <t>Grow mobile engagement</t>
        </is>
      </c>
      <c r="B6" t="inlineStr">
        <is>
          <t>Launch design system v2 across 4 product teams</t>
        </is>
      </c>
      <c r="C6" t="inlineStr">
        <is>
          <t>Alex M.</t>
        </is>
      </c>
      <c r="D6" t="n">
        <v>1</v>
      </c>
      <c r="E6" t="n">
        <v>3</v>
      </c>
      <c r="F6" t="n">
        <v>4</v>
      </c>
      <c r="G6" s="3">
        <f>IF(D6=F6,1,IF(F6&gt;D6,MIN(1,(E6-D6)/(F6-D6)),MIN(1,(D6-E6)/(D6-F6))))</f>
        <v/>
      </c>
    </row>
    <row r="7">
      <c r="A7" t="inlineStr">
        <is>
          <t>Improve operational reliability</t>
        </is>
      </c>
      <c r="B7" t="inlineStr">
        <is>
          <t>Maintain 99.9% uptime SLA</t>
        </is>
      </c>
      <c r="C7" t="inlineStr">
        <is>
          <t>Daniel O.</t>
        </is>
      </c>
      <c r="D7" t="n">
        <v>99.94</v>
      </c>
      <c r="E7" t="n">
        <v>99.95</v>
      </c>
      <c r="F7" t="n">
        <v>99.90000000000001</v>
      </c>
      <c r="G7" s="3">
        <f>IF(D7=F7,1,IF(F7&gt;D7,MIN(1,(E7-D7)/(F7-D7)),MIN(1,(D7-E7)/(D7-F7))))</f>
        <v/>
      </c>
    </row>
    <row r="8">
      <c r="A8" t="inlineStr">
        <is>
          <t>Improve operational reliability</t>
        </is>
      </c>
      <c r="B8" t="inlineStr">
        <is>
          <t>Reduce P1/P2 incidents by 25%</t>
        </is>
      </c>
      <c r="C8" t="inlineStr">
        <is>
          <t>Daniel O.</t>
        </is>
      </c>
      <c r="D8" t="n">
        <v>16</v>
      </c>
      <c r="E8" t="n">
        <v>14</v>
      </c>
      <c r="F8" t="n">
        <v>12</v>
      </c>
      <c r="G8" s="3">
        <f>IF(D8=F8,1,IF(F8&gt;D8,MIN(1,(E8-D8)/(F8-D8)),MIN(1,(D8-E8)/(D8-F8))))</f>
        <v/>
      </c>
    </row>
    <row r="9">
      <c r="A9" t="inlineStr">
        <is>
          <t>Improve operational reliability</t>
        </is>
      </c>
      <c r="B9" t="inlineStr">
        <is>
          <t>MTTR for P1/P2 under 30 min</t>
        </is>
      </c>
      <c r="C9" t="inlineStr">
        <is>
          <t>Daniel O.</t>
        </is>
      </c>
      <c r="D9" t="n">
        <v>47</v>
      </c>
      <c r="E9" t="n">
        <v>31</v>
      </c>
      <c r="F9" t="n">
        <v>30</v>
      </c>
      <c r="G9" s="3">
        <f>IF(D9=F9,1,IF(F9&gt;D9,MIN(1,(E9-D9)/(F9-D9)),MIN(1,(D9-E9)/(D9-F9))))</f>
        <v/>
      </c>
    </row>
    <row r="10">
      <c r="A10" t="inlineStr">
        <is>
          <t>Expand into new markets</t>
        </is>
      </c>
      <c r="B10" t="inlineStr">
        <is>
          <t>Launch in Parklands by Q4 week 10</t>
        </is>
      </c>
      <c r="C10" t="inlineStr">
        <is>
          <t>Sarah W.</t>
        </is>
      </c>
      <c r="D10" t="n">
        <v>0</v>
      </c>
      <c r="E10" t="n">
        <v>60</v>
      </c>
      <c r="F10" t="n">
        <v>100</v>
      </c>
      <c r="G10" s="3">
        <f>IF(D10=F10,1,IF(F10&gt;D10,MIN(1,(E10-D10)/(F10-D10)),MIN(1,(D10-E10)/(D10-F10))))</f>
        <v/>
      </c>
    </row>
    <row r="11">
      <c r="A11" t="inlineStr">
        <is>
          <t>Expand into new markets</t>
        </is>
      </c>
      <c r="B11" t="inlineStr">
        <is>
          <t>Reach 6,500 MAU by end of Q4</t>
        </is>
      </c>
      <c r="C11" t="inlineStr">
        <is>
          <t>Sarah W.</t>
        </is>
      </c>
      <c r="D11" t="n">
        <v>3400</v>
      </c>
      <c r="E11" t="n">
        <v>4800</v>
      </c>
      <c r="F11" t="n">
        <v>6500</v>
      </c>
      <c r="G11" s="3">
        <f>IF(D11=F11,1,IF(F11&gt;D11,MIN(1,(E11-D11)/(F11-D11)),MIN(1,(D11-E11)/(D11-F11))))</f>
        <v/>
      </c>
    </row>
    <row r="12">
      <c r="A12" t="inlineStr">
        <is>
          <t>Expand into new markets</t>
        </is>
      </c>
      <c r="B12" t="inlineStr">
        <is>
          <t>Reduce blended CAC from KES 1,200 to KES 900</t>
        </is>
      </c>
      <c r="C12" t="inlineStr">
        <is>
          <t>Jane K.</t>
        </is>
      </c>
      <c r="D12" t="n">
        <v>1200</v>
      </c>
      <c r="E12" t="n">
        <v>1050</v>
      </c>
      <c r="F12" t="n">
        <v>900</v>
      </c>
      <c r="G12" s="3">
        <f>IF(D12=F12,1,IF(F12&gt;D12,MIN(1,(E12-D12)/(F12-D12)),MIN(1,(D12-E12)/(D12-F12))))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