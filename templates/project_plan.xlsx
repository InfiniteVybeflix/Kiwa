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  <color rgb="00059669"/>
    </font>
    <font>
      <b val="1"/>
      <color rgb="00D97706"/>
    </font>
    <font>
      <color rgb="006B7280"/>
    </font>
  </fonts>
  <fills count="7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" fontId="0" fillId="0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2" customWidth="1" min="4" max="4"/>
    <col width="12" customWidth="1" min="5" max="5"/>
    <col width="8" customWidth="1" min="6" max="6"/>
    <col width="12" customWidth="1" min="7" max="7"/>
    <col width="28" customWidth="1" min="8" max="8"/>
  </cols>
  <sheetData>
    <row r="1" ht="28" customHeight="1">
      <c r="A1" s="1" t="inlineStr">
        <is>
          <t>PROJECT PLAN — Mobile App Redesign (Q4 2025)</t>
        </is>
      </c>
    </row>
    <row r="3">
      <c r="A3" s="2" t="inlineStr">
        <is>
          <t>#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Days</t>
        </is>
      </c>
      <c r="G3" s="2" t="inlineStr">
        <is>
          <t>Status</t>
        </is>
      </c>
      <c r="H3" s="2" t="inlineStr">
        <is>
          <t>Notes</t>
        </is>
      </c>
    </row>
    <row r="4">
      <c r="A4" t="n">
        <v>1</v>
      </c>
      <c r="B4" t="inlineStr">
        <is>
          <t>Discovery &amp; research</t>
        </is>
      </c>
      <c r="C4" t="inlineStr">
        <is>
          <t>Alex M.</t>
        </is>
      </c>
      <c r="D4" t="inlineStr">
        <is>
          <t>2025-10-06</t>
        </is>
      </c>
      <c r="E4" t="inlineStr">
        <is>
          <t>2025-10-17</t>
        </is>
      </c>
      <c r="F4" s="3">
        <f>IF(AND(D4&lt;&gt;"",E4&lt;&gt;""),E4-D4,"")</f>
        <v/>
      </c>
      <c r="G4" s="4" t="inlineStr">
        <is>
          <t>Done</t>
        </is>
      </c>
      <c r="H4" t="inlineStr">
        <is>
          <t>8 user interviews + competitive scan</t>
        </is>
      </c>
    </row>
    <row r="5">
      <c r="A5" t="n">
        <v>2</v>
      </c>
      <c r="B5" t="inlineStr">
        <is>
          <t>Problem statement &amp; success metrics</t>
        </is>
      </c>
      <c r="C5" t="inlineStr">
        <is>
          <t>Sarah W.</t>
        </is>
      </c>
      <c r="D5" t="inlineStr">
        <is>
          <t>2025-10-13</t>
        </is>
      </c>
      <c r="E5" t="inlineStr">
        <is>
          <t>2025-10-17</t>
        </is>
      </c>
      <c r="F5" s="3">
        <f>IF(AND(D5&lt;&gt;"",E5&lt;&gt;""),E5-D5,"")</f>
        <v/>
      </c>
      <c r="G5" s="4" t="inlineStr">
        <is>
          <t>Done</t>
        </is>
      </c>
      <c r="H5" t="inlineStr">
        <is>
          <t>Aligned with Q4 OKRs</t>
        </is>
      </c>
    </row>
    <row r="6">
      <c r="A6" t="n">
        <v>3</v>
      </c>
      <c r="B6" t="inlineStr">
        <is>
          <t>Information architecture v1</t>
        </is>
      </c>
      <c r="C6" t="inlineStr">
        <is>
          <t>Alex M.</t>
        </is>
      </c>
      <c r="D6" t="inlineStr">
        <is>
          <t>2025-10-20</t>
        </is>
      </c>
      <c r="E6" t="inlineStr">
        <is>
          <t>2025-10-24</t>
        </is>
      </c>
      <c r="F6" s="3">
        <f>IF(AND(D6&lt;&gt;"",E6&lt;&gt;""),E6-D6,"")</f>
        <v/>
      </c>
      <c r="G6" s="5" t="inlineStr">
        <is>
          <t>In Progress</t>
        </is>
      </c>
      <c r="H6" t="inlineStr">
        <is>
          <t>5 top-level sections</t>
        </is>
      </c>
    </row>
    <row r="7">
      <c r="A7" t="n">
        <v>4</v>
      </c>
      <c r="B7" t="inlineStr">
        <is>
          <t>Wireframes — low fidelity</t>
        </is>
      </c>
      <c r="C7" t="inlineStr">
        <is>
          <t>Alex M.</t>
        </is>
      </c>
      <c r="D7" t="inlineStr">
        <is>
          <t>2025-10-27</t>
        </is>
      </c>
      <c r="E7" t="inlineStr">
        <is>
          <t>2025-11-03</t>
        </is>
      </c>
      <c r="F7" s="3">
        <f>IF(AND(D7&lt;&gt;"",E7&lt;&gt;""),E7-D7,"")</f>
        <v/>
      </c>
      <c r="G7" s="6" t="inlineStr">
        <is>
          <t>Not Started</t>
        </is>
      </c>
      <c r="H7" t="inlineStr"/>
    </row>
    <row r="8">
      <c r="A8" t="n">
        <v>5</v>
      </c>
      <c r="B8" t="inlineStr">
        <is>
          <t>Design review with stakeholders</t>
        </is>
      </c>
      <c r="C8" t="inlineStr">
        <is>
          <t>Sarah W.</t>
        </is>
      </c>
      <c r="D8" t="inlineStr">
        <is>
          <t>2025-11-04</t>
        </is>
      </c>
      <c r="E8" t="inlineStr">
        <is>
          <t>2025-11-04</t>
        </is>
      </c>
      <c r="F8" s="3">
        <f>IF(AND(D8&lt;&gt;"",E8&lt;&gt;""),E8-D8,"")</f>
        <v/>
      </c>
      <c r="G8" s="6" t="inlineStr">
        <is>
          <t>Not Started</t>
        </is>
      </c>
      <c r="H8" t="inlineStr">
        <is>
          <t>1 hour</t>
        </is>
      </c>
    </row>
    <row r="9">
      <c r="A9" t="n">
        <v>6</v>
      </c>
      <c r="B9" t="inlineStr">
        <is>
          <t>Visual design — high fidelity</t>
        </is>
      </c>
      <c r="C9" t="inlineStr">
        <is>
          <t>Alex M.</t>
        </is>
      </c>
      <c r="D9" t="inlineStr">
        <is>
          <t>2025-11-05</t>
        </is>
      </c>
      <c r="E9" t="inlineStr">
        <is>
          <t>2025-11-19</t>
        </is>
      </c>
      <c r="F9" s="3">
        <f>IF(AND(D9&lt;&gt;"",E9&lt;&gt;""),E9-D9,"")</f>
        <v/>
      </c>
      <c r="G9" s="6" t="inlineStr">
        <is>
          <t>Not Started</t>
        </is>
      </c>
      <c r="H9" t="inlineStr">
        <is>
          <t>Includes dark mode pass</t>
        </is>
      </c>
    </row>
    <row r="10">
      <c r="A10" t="n">
        <v>7</v>
      </c>
      <c r="B10" t="inlineStr">
        <is>
          <t>Prototype + usability testing</t>
        </is>
      </c>
      <c r="C10" t="inlineStr">
        <is>
          <t>Alex M.</t>
        </is>
      </c>
      <c r="D10" t="inlineStr">
        <is>
          <t>2025-11-20</t>
        </is>
      </c>
      <c r="E10" t="inlineStr">
        <is>
          <t>2025-11-26</t>
        </is>
      </c>
      <c r="F10" s="3">
        <f>IF(AND(D10&lt;&gt;"",E10&lt;&gt;""),E10-D10,"")</f>
        <v/>
      </c>
      <c r="G10" s="6" t="inlineStr">
        <is>
          <t>Not Started</t>
        </is>
      </c>
      <c r="H10" t="inlineStr">
        <is>
          <t>5 participants</t>
        </is>
      </c>
    </row>
    <row r="11">
      <c r="A11" t="n">
        <v>8</v>
      </c>
      <c r="B11" t="inlineStr">
        <is>
          <t>Engineering kickoff &amp; estimation</t>
        </is>
      </c>
      <c r="C11" t="inlineStr">
        <is>
          <t>Daniel O.</t>
        </is>
      </c>
      <c r="D11" t="inlineStr">
        <is>
          <t>2025-11-27</t>
        </is>
      </c>
      <c r="E11" t="inlineStr">
        <is>
          <t>2025-12-01</t>
        </is>
      </c>
      <c r="F11" s="3">
        <f>IF(AND(D11&lt;&gt;"",E11&lt;&gt;""),E11-D11,"")</f>
        <v/>
      </c>
      <c r="G11" s="6" t="inlineStr">
        <is>
          <t>Not Started</t>
        </is>
      </c>
      <c r="H11" t="inlineStr"/>
    </row>
    <row r="12">
      <c r="A12" t="n">
        <v>9</v>
      </c>
      <c r="B12" t="inlineStr">
        <is>
          <t>Sprint 1 — auth + nav</t>
        </is>
      </c>
      <c r="C12" t="inlineStr">
        <is>
          <t>Daniel O.</t>
        </is>
      </c>
      <c r="D12" t="inlineStr">
        <is>
          <t>2025-12-02</t>
        </is>
      </c>
      <c r="E12" t="inlineStr">
        <is>
          <t>2025-12-12</t>
        </is>
      </c>
      <c r="F12" s="3">
        <f>IF(AND(D12&lt;&gt;"",E12&lt;&gt;""),E12-D12,"")</f>
        <v/>
      </c>
      <c r="G12" s="6" t="inlineStr">
        <is>
          <t>Not Started</t>
        </is>
      </c>
      <c r="H12" t="inlineStr"/>
    </row>
    <row r="13">
      <c r="A13" t="n">
        <v>10</v>
      </c>
      <c r="B13" t="inlineStr">
        <is>
          <t>Sprint 2 — dashboard + settings</t>
        </is>
      </c>
      <c r="C13" t="inlineStr">
        <is>
          <t>Daniel O.</t>
        </is>
      </c>
      <c r="D13" t="inlineStr">
        <is>
          <t>2025-12-15</t>
        </is>
      </c>
      <c r="E13" t="inlineStr">
        <is>
          <t>2025-12-26</t>
        </is>
      </c>
      <c r="F13" s="3">
        <f>IF(AND(D13&lt;&gt;"",E13&lt;&gt;""),E13-D13,"")</f>
        <v/>
      </c>
      <c r="G13" s="6" t="inlineStr">
        <is>
          <t>Not Started</t>
        </is>
      </c>
      <c r="H13" t="inlineStr"/>
    </row>
    <row r="14">
      <c r="A14" t="n">
        <v>11</v>
      </c>
      <c r="B14" t="inlineStr">
        <is>
          <t>QA + bug bash</t>
        </is>
      </c>
      <c r="C14" t="inlineStr">
        <is>
          <t>Jane K.</t>
        </is>
      </c>
      <c r="D14" t="inlineStr">
        <is>
          <t>2025-12-29</t>
        </is>
      </c>
      <c r="E14" t="inlineStr">
        <is>
          <t>2026-01-05</t>
        </is>
      </c>
      <c r="F14" s="3">
        <f>IF(AND(D14&lt;&gt;"",E14&lt;&gt;""),E14-D14,"")</f>
        <v/>
      </c>
      <c r="G14" s="6" t="inlineStr">
        <is>
          <t>Not Started</t>
        </is>
      </c>
      <c r="H14" t="inlineStr"/>
    </row>
    <row r="15">
      <c r="A15" t="n">
        <v>12</v>
      </c>
      <c r="B15" t="inlineStr">
        <is>
          <t>Soft launch (10% rollout)</t>
        </is>
      </c>
      <c r="C15" t="inlineStr">
        <is>
          <t>Daniel O.</t>
        </is>
      </c>
      <c r="D15" t="inlineStr">
        <is>
          <t>2026-01-06</t>
        </is>
      </c>
      <c r="E15" t="inlineStr">
        <is>
          <t>2026-01-08</t>
        </is>
      </c>
      <c r="F15" s="3">
        <f>IF(AND(D15&lt;&gt;"",E15&lt;&gt;""),E15-D15,"")</f>
        <v/>
      </c>
      <c r="G15" s="6" t="inlineStr">
        <is>
          <t>Not Started</t>
        </is>
      </c>
      <c r="H15" t="inlineStr"/>
    </row>
    <row r="16">
      <c r="A16" t="n">
        <v>13</v>
      </c>
      <c r="B16" t="inlineStr">
        <is>
          <t>Full launch + post-launch monitoring</t>
        </is>
      </c>
      <c r="C16" t="inlineStr">
        <is>
          <t>Daniel O.</t>
        </is>
      </c>
      <c r="D16" t="inlineStr">
        <is>
          <t>2026-01-09</t>
        </is>
      </c>
      <c r="E16" t="inlineStr">
        <is>
          <t>2026-01-16</t>
        </is>
      </c>
      <c r="F16" s="3">
        <f>IF(AND(D16&lt;&gt;"",E16&lt;&gt;""),E16-D16,"")</f>
        <v/>
      </c>
      <c r="G16" s="6" t="inlineStr">
        <is>
          <t>Not Started</t>
        </is>
      </c>
      <c r="H1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