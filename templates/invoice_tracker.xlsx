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</font>
    <font>
      <b val="1"/>
      <color rgb="00059669"/>
    </font>
    <font>
      <b val="1"/>
      <color rgb="00DC2626"/>
    </font>
    <font>
      <b val="1"/>
      <color rgb="00D97706"/>
    </font>
    <font>
      <color rgb="006B7280"/>
    </font>
    <font>
      <b val="1"/>
      <color rgb="00D97706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left"/>
    </xf>
    <xf numFmtId="0" fontId="4" fillId="5" borderId="0" applyAlignment="1" pivotButton="0" quotePrefix="0" xfId="0">
      <alignment horizontal="left"/>
    </xf>
    <xf numFmtId="0" fontId="5" fillId="6" borderId="0" applyAlignment="1" pivotButton="0" quotePrefix="0" xfId="0">
      <alignment horizontal="left"/>
    </xf>
    <xf numFmtId="0" fontId="6" fillId="7" borderId="0" applyAlignment="1" pivotButton="0" quotePrefix="0" xfId="0">
      <alignment horizontal="left"/>
    </xf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INVOICE TRACKER — 2025</t>
        </is>
      </c>
    </row>
    <row r="3">
      <c r="A3" s="2" t="inlineStr">
        <is>
          <t>Invoice #</t>
        </is>
      </c>
      <c r="B3" s="2" t="inlineStr">
        <is>
          <t>Client</t>
        </is>
      </c>
      <c r="C3" s="2" t="inlineStr">
        <is>
          <t>Issued Date</t>
        </is>
      </c>
      <c r="D3" s="2" t="inlineStr">
        <is>
          <t>Due Date</t>
        </is>
      </c>
      <c r="E3" s="2" t="inlineStr">
        <is>
          <t>Amount (KES)</t>
        </is>
      </c>
      <c r="F3" s="2" t="inlineStr">
        <is>
          <t>VAT (KES)</t>
        </is>
      </c>
      <c r="G3" s="2" t="inlineStr">
        <is>
          <t>Total (KES)</t>
        </is>
      </c>
      <c r="H3" s="2" t="inlineStr">
        <is>
          <t>Status</t>
        </is>
      </c>
      <c r="I3" s="2" t="inlineStr">
        <is>
          <t>Paid Date</t>
        </is>
      </c>
    </row>
    <row r="4">
      <c r="A4" s="3" t="inlineStr">
        <is>
          <t>INV-2025-0039</t>
        </is>
      </c>
      <c r="B4" s="4" t="inlineStr">
        <is>
          <t>Savanna Foods Ltd</t>
        </is>
      </c>
      <c r="C4" s="3" t="inlineStr">
        <is>
          <t>2025-09-12</t>
        </is>
      </c>
      <c r="D4" s="3" t="inlineStr">
        <is>
          <t>2025-09-26</t>
        </is>
      </c>
      <c r="E4" s="5" t="n">
        <v>850000</v>
      </c>
      <c r="F4" s="5" t="n">
        <v>136000</v>
      </c>
      <c r="G4" s="5" t="n">
        <v>986000</v>
      </c>
      <c r="H4" s="6" t="inlineStr">
        <is>
          <t>Paid</t>
        </is>
      </c>
      <c r="I4" s="3" t="inlineStr">
        <is>
          <t>2025-09-22</t>
        </is>
      </c>
    </row>
    <row r="5">
      <c r="A5" s="3" t="inlineStr">
        <is>
          <t>INV-2025-0040</t>
        </is>
      </c>
      <c r="B5" s="4" t="inlineStr">
        <is>
          <t>Acme Holdings Ltd</t>
        </is>
      </c>
      <c r="C5" s="3" t="inlineStr">
        <is>
          <t>2025-09-15</t>
        </is>
      </c>
      <c r="D5" s="3" t="inlineStr">
        <is>
          <t>2025-09-29</t>
        </is>
      </c>
      <c r="E5" s="5" t="n">
        <v>420000</v>
      </c>
      <c r="F5" s="5" t="n">
        <v>67200</v>
      </c>
      <c r="G5" s="5" t="n">
        <v>487200</v>
      </c>
      <c r="H5" s="6" t="inlineStr">
        <is>
          <t>Paid</t>
        </is>
      </c>
      <c r="I5" s="3" t="inlineStr">
        <is>
          <t>2025-09-25</t>
        </is>
      </c>
    </row>
    <row r="6">
      <c r="A6" s="3" t="inlineStr">
        <is>
          <t>INV-2025-0041</t>
        </is>
      </c>
      <c r="B6" s="4" t="inlineStr">
        <is>
          <t>Pulse Agency</t>
        </is>
      </c>
      <c r="C6" s="3" t="inlineStr">
        <is>
          <t>2025-09-19</t>
        </is>
      </c>
      <c r="D6" s="3" t="inlineStr">
        <is>
          <t>2025-10-03</t>
        </is>
      </c>
      <c r="E6" s="5" t="n">
        <v>220000</v>
      </c>
      <c r="F6" s="5" t="n">
        <v>35200</v>
      </c>
      <c r="G6" s="5" t="n">
        <v>255200</v>
      </c>
      <c r="H6" s="7" t="inlineStr">
        <is>
          <t>Overdue</t>
        </is>
      </c>
      <c r="I6" s="3" t="inlineStr"/>
    </row>
    <row r="7">
      <c r="A7" s="3" t="inlineStr">
        <is>
          <t>INV-2025-0042</t>
        </is>
      </c>
      <c r="B7" s="4" t="inlineStr">
        <is>
          <t>Savanna Foods Ltd</t>
        </is>
      </c>
      <c r="C7" s="3" t="inlineStr">
        <is>
          <t>2025-09-22</t>
        </is>
      </c>
      <c r="D7" s="3" t="inlineStr">
        <is>
          <t>2025-10-06</t>
        </is>
      </c>
      <c r="E7" s="5" t="n">
        <v>1420000</v>
      </c>
      <c r="F7" s="5" t="n">
        <v>227200</v>
      </c>
      <c r="G7" s="5" t="n">
        <v>1647200</v>
      </c>
      <c r="H7" s="8" t="inlineStr">
        <is>
          <t>Pending</t>
        </is>
      </c>
      <c r="I7" s="3" t="inlineStr"/>
    </row>
    <row r="8">
      <c r="A8" s="3" t="inlineStr">
        <is>
          <t>INV-2025-0043</t>
        </is>
      </c>
      <c r="B8" s="4" t="inlineStr">
        <is>
          <t>Bright Labs</t>
        </is>
      </c>
      <c r="C8" s="3" t="inlineStr">
        <is>
          <t>2025-09-28</t>
        </is>
      </c>
      <c r="D8" s="3" t="inlineStr">
        <is>
          <t>2025-10-12</t>
        </is>
      </c>
      <c r="E8" s="5" t="n">
        <v>380000</v>
      </c>
      <c r="F8" s="5" t="n">
        <v>60800</v>
      </c>
      <c r="G8" s="5" t="n">
        <v>440800</v>
      </c>
      <c r="H8" s="8" t="inlineStr">
        <is>
          <t>Pending</t>
        </is>
      </c>
      <c r="I8" s="3" t="inlineStr"/>
    </row>
    <row r="9">
      <c r="A9" s="3" t="inlineStr">
        <is>
          <t>INV-2025-0044</t>
        </is>
      </c>
      <c r="B9" s="4" t="inlineStr">
        <is>
          <t>Indie Studio</t>
        </is>
      </c>
      <c r="C9" s="3" t="inlineStr">
        <is>
          <t>2025-10-02</t>
        </is>
      </c>
      <c r="D9" s="3" t="inlineStr">
        <is>
          <t>2025-10-16</t>
        </is>
      </c>
      <c r="E9" s="5" t="n">
        <v>195000</v>
      </c>
      <c r="F9" s="5" t="n">
        <v>31200</v>
      </c>
      <c r="G9" s="5" t="n">
        <v>226200</v>
      </c>
      <c r="H9" s="9" t="inlineStr">
        <is>
          <t>Draft</t>
        </is>
      </c>
      <c r="I9" s="3" t="inlineStr"/>
    </row>
    <row r="12">
      <c r="A12" s="10" t="inlineStr">
        <is>
          <t>SUMMARY</t>
        </is>
      </c>
    </row>
    <row r="13">
      <c r="A13" s="11" t="inlineStr">
        <is>
          <t>Total invoiced:</t>
        </is>
      </c>
      <c r="B13" s="12">
        <f>SUM(G4:G9)</f>
        <v/>
      </c>
    </row>
    <row r="14">
      <c r="A14" s="11" t="inlineStr">
        <is>
          <t>Total paid:</t>
        </is>
      </c>
      <c r="B14" s="12">
        <f>SUMIF(H4:H9,"Paid",G4:G9)</f>
        <v/>
      </c>
    </row>
    <row r="15">
      <c r="A15" s="11" t="inlineStr">
        <is>
          <t>Total outstanding:</t>
        </is>
      </c>
      <c r="B15" s="12">
        <f>SUMIF(H4:H9,"Pending",G4:G9)+SUMIF(H4:H9,"Overdue",G4:G9)</f>
        <v/>
      </c>
    </row>
  </sheetData>
  <mergeCells count="1">
    <mergeCell ref="A1:I1"/>
  </mergeCells>
  <dataValidations count="1">
    <dataValidation sqref="H4:H60" showDropDown="0" showInputMessage="0" showErrorMessage="0" allowBlank="1" type="list">
      <formula1>"Pending,Paid,Overdue,Draft,Cancelled"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2026-10-06T14:07:38Z</dcterms:created>
  <dcterms:modified xmlns:dcterms="http://purl.org/dc/terms/" xmlns:xsi="http://www.w3.org/2001/XMLSchema-instance" xsi:type="dcterms:W3CDTF">2026-10-06T14:07:38Z</dcterms:modified>
</cp:coreProperties>
</file>