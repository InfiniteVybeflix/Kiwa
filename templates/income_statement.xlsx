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FFFFFF"/>
    </font>
    <font>
      <b val="1"/>
    </font>
    <font/>
    <font>
      <b val="1"/>
      <color rgb="00059669"/>
      <sz val="12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97706"/>
        <b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1" t="inlineStr">
        <is>
          <t>INCOME STATEMENT — for the year ended December 31, 2025 (KES)</t>
        </is>
      </c>
    </row>
    <row r="3">
      <c r="A3" s="2" t="inlineStr">
        <is>
          <t>Line item</t>
        </is>
      </c>
      <c r="B3" s="2" t="inlineStr">
        <is>
          <t>2025</t>
        </is>
      </c>
      <c r="C3" s="2" t="inlineStr">
        <is>
          <t>2024</t>
        </is>
      </c>
      <c r="D3" s="2" t="inlineStr">
        <is>
          <t>% change</t>
        </is>
      </c>
    </row>
    <row r="4">
      <c r="A4" s="3" t="inlineStr">
        <is>
          <t>Revenue</t>
        </is>
      </c>
      <c r="B4" s="4" t="n">
        <v>142000000</v>
      </c>
      <c r="C4" s="4" t="n">
        <v>120000000</v>
      </c>
      <c r="D4" s="5">
        <f>IF(C4=0,0,(B4-C4)/ABS(C4))</f>
        <v/>
      </c>
    </row>
    <row r="5">
      <c r="A5" s="6" t="inlineStr">
        <is>
          <t>Cost of goods sold (COGS)</t>
        </is>
      </c>
      <c r="B5" s="4" t="n">
        <v>-102240000</v>
      </c>
      <c r="C5" s="4" t="n">
        <v>-84000000</v>
      </c>
      <c r="D5" s="5">
        <f>IF(C5=0,0,(B5-C5)/ABS(C5))</f>
        <v/>
      </c>
    </row>
    <row r="6">
      <c r="A6" s="3" t="inlineStr">
        <is>
          <t>Gross profit</t>
        </is>
      </c>
      <c r="B6" s="4">
        <f>B4+B5</f>
        <v/>
      </c>
      <c r="C6" s="4">
        <f>C4+C5</f>
        <v/>
      </c>
      <c r="D6" s="5">
        <f>IF(C6=0,0,(B6-C6)/ABS(C6))</f>
        <v/>
      </c>
    </row>
    <row r="7">
      <c r="A7" s="3" t="inlineStr">
        <is>
          <t>Operating expenses</t>
        </is>
      </c>
      <c r="B7" s="4" t="inlineStr"/>
      <c r="C7" s="4" t="inlineStr"/>
      <c r="D7" s="5">
        <f>IF(C7=0,0,(B7-C7)/ABS(C7))</f>
        <v/>
      </c>
    </row>
    <row r="8">
      <c r="A8" s="6" t="inlineStr">
        <is>
          <t xml:space="preserve">  Sales &amp; marketing</t>
        </is>
      </c>
      <c r="B8" s="4" t="n">
        <v>-28000000</v>
      </c>
      <c r="C8" s="4" t="n">
        <v>-22000000</v>
      </c>
      <c r="D8" s="5">
        <f>IF(C8=0,0,(B8-C8)/ABS(C8))</f>
        <v/>
      </c>
    </row>
    <row r="9">
      <c r="A9" s="6" t="inlineStr">
        <is>
          <t xml:space="preserve">  Research &amp; development</t>
        </is>
      </c>
      <c r="B9" s="4" t="n">
        <v>-18000000</v>
      </c>
      <c r="C9" s="4" t="n">
        <v>-14000000</v>
      </c>
      <c r="D9" s="5">
        <f>IF(C9=0,0,(B9-C9)/ABS(C9))</f>
        <v/>
      </c>
    </row>
    <row r="10">
      <c r="A10" s="6" t="inlineStr">
        <is>
          <t xml:space="preserve">  General &amp; administrative</t>
        </is>
      </c>
      <c r="B10" s="4" t="n">
        <v>-12000000</v>
      </c>
      <c r="C10" s="4" t="n">
        <v>-10000000</v>
      </c>
      <c r="D10" s="5">
        <f>IF(C10=0,0,(B10-C10)/ABS(C10))</f>
        <v/>
      </c>
    </row>
    <row r="11">
      <c r="A11" s="3" t="inlineStr">
        <is>
          <t>Total operating expenses</t>
        </is>
      </c>
      <c r="B11" s="4">
        <f>SUM(B8:B10)</f>
        <v/>
      </c>
      <c r="C11" s="4">
        <f>SUM(C8:C10)</f>
        <v/>
      </c>
      <c r="D11" s="5">
        <f>IF(C11=0,0,(B11-C11)/ABS(C11))</f>
        <v/>
      </c>
    </row>
    <row r="12">
      <c r="A12" s="3" t="inlineStr">
        <is>
          <t>Operating income (EBIT)</t>
        </is>
      </c>
      <c r="B12" s="4">
        <f>B6+B11</f>
        <v/>
      </c>
      <c r="C12" s="4">
        <f>C6+C11</f>
        <v/>
      </c>
      <c r="D12" s="5">
        <f>IF(C12=0,0,(B12-C12)/ABS(C12))</f>
        <v/>
      </c>
    </row>
    <row r="13">
      <c r="A13" s="6" t="inlineStr">
        <is>
          <t>Interest expense</t>
        </is>
      </c>
      <c r="B13" s="4" t="n">
        <v>-1200000</v>
      </c>
      <c r="C13" s="4" t="n">
        <v>-1500000</v>
      </c>
      <c r="D13" s="5">
        <f>IF(C13=0,0,(B13-C13)/ABS(C13))</f>
        <v/>
      </c>
    </row>
    <row r="14">
      <c r="A14" s="6" t="inlineStr">
        <is>
          <t>Other income (expense)</t>
        </is>
      </c>
      <c r="B14" s="4" t="n">
        <v>200000</v>
      </c>
      <c r="C14" s="4" t="n">
        <v>-300000</v>
      </c>
      <c r="D14" s="5">
        <f>IF(C14=0,0,(B14-C14)/ABS(C14))</f>
        <v/>
      </c>
    </row>
    <row r="15">
      <c r="A15" s="3" t="inlineStr">
        <is>
          <t>Income before tax</t>
        </is>
      </c>
      <c r="B15" s="4">
        <f>B12+B13+B14</f>
        <v/>
      </c>
      <c r="C15" s="4">
        <f>C12+C13+C14</f>
        <v/>
      </c>
      <c r="D15" s="5">
        <f>IF(C15=0,0,(B15-C15)/ABS(C15))</f>
        <v/>
      </c>
    </row>
    <row r="16">
      <c r="A16" s="6" t="inlineStr">
        <is>
          <t>Income tax expense (25%)</t>
        </is>
      </c>
      <c r="B16" s="4">
        <f>B15*0.25</f>
        <v/>
      </c>
      <c r="C16" s="4">
        <f>C15*0.25</f>
        <v/>
      </c>
      <c r="D16" s="5">
        <f>IF(C16=0,0,(B16-C16)/ABS(C16))</f>
        <v/>
      </c>
    </row>
    <row r="17">
      <c r="A17" s="3" t="inlineStr">
        <is>
          <t>NET INCOME</t>
        </is>
      </c>
      <c r="B17" s="7">
        <f>B15-B16</f>
        <v/>
      </c>
      <c r="C17" s="7">
        <f>C15-C16</f>
        <v/>
      </c>
      <c r="D17" s="5">
        <f>IF(C17=0,0,(B17-C17)/ABS(C17))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2026-10-06T14:07:38Z</dcterms:created>
  <dcterms:modified xmlns:dcterms="http://purl.org/dc/terms/" xmlns:xsi="http://www.w3.org/2001/XMLSchema-instance" xsi:type="dcterms:W3CDTF">2026-10-06T14:07:38Z</dcterms:modified>
</cp:coreProperties>
</file>