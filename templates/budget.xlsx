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</font>
    <font>
      <b val="1"/>
      <sz val="12"/>
    </font>
    <font>
      <b val="1"/>
      <color rgb="00059669"/>
      <sz val="12"/>
    </font>
  </fonts>
  <fills count="5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6">
    <border>
      <left/>
      <right/>
      <top/>
      <bottom/>
      <diagonal/>
    </border>
    <border>
      <left style="thin">
        <color rgb="00059669"/>
      </left>
      <top style="thin">
        <color rgb="00059669"/>
      </top>
      <bottom style="thin">
        <color rgb="00059669"/>
      </bottom>
    </border>
    <border>
      <right style="thin">
        <color rgb="00059669"/>
      </right>
      <top style="thin">
        <color rgb="00059669"/>
      </top>
      <bottom style="thin">
        <color rgb="00059669"/>
      </bottom>
    </border>
    <border>
      <left style="thin">
        <color rgb="00DC2626"/>
      </left>
      <top style="thin">
        <color rgb="00DC2626"/>
      </top>
      <bottom style="thin">
        <color rgb="00DC2626"/>
      </bottom>
    </border>
    <border>
      <top style="thin">
        <color rgb="00DC2626"/>
      </top>
      <bottom style="thin">
        <color rgb="00DC2626"/>
      </bottom>
    </border>
    <border>
      <right style="thin">
        <color rgb="00DC2626"/>
      </right>
      <top style="thin">
        <color rgb="00DC2626"/>
      </top>
      <bottom style="thin">
        <color rgb="00DC262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3" fontId="0" fillId="0" borderId="0" pivotButton="0" quotePrefix="0" xfId="0"/>
    <xf numFmtId="0" fontId="3" fillId="0" borderId="1" pivotButton="0" quotePrefix="0" xfId="0"/>
    <xf numFmtId="3" fontId="3" fillId="0" borderId="2" pivotButton="0" quotePrefix="0" xfId="0"/>
    <xf numFmtId="0" fontId="2" fillId="4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3" pivotButton="0" quotePrefix="0" xfId="0"/>
    <xf numFmtId="3" fontId="3" fillId="0" borderId="4" pivotButton="0" quotePrefix="0" xfId="0"/>
    <xf numFmtId="164" fontId="0" fillId="0" borderId="5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MONTHLY BUDGET — OCTOBER 2025</t>
        </is>
      </c>
    </row>
    <row r="3" ht="24" customHeight="1">
      <c r="A3" s="2" t="inlineStr">
        <is>
          <t>INCOME</t>
        </is>
      </c>
      <c r="B3" s="2" t="n"/>
      <c r="C3" s="2" t="n"/>
      <c r="D3" s="2" t="n"/>
      <c r="E3" s="2" t="n"/>
      <c r="F3" s="2" t="n"/>
    </row>
    <row r="4">
      <c r="A4" s="3" t="inlineStr">
        <is>
          <t>Source</t>
        </is>
      </c>
      <c r="B4" s="3" t="inlineStr">
        <is>
          <t>Amount (KES)</t>
        </is>
      </c>
    </row>
    <row r="5">
      <c r="A5" t="inlineStr">
        <is>
          <t>Primary salary (net)</t>
        </is>
      </c>
      <c r="B5" s="4" t="n">
        <v>180000</v>
      </c>
    </row>
    <row r="6">
      <c r="A6" t="inlineStr">
        <is>
          <t>Side projects</t>
        </is>
      </c>
      <c r="B6" s="4" t="n">
        <v>35000</v>
      </c>
    </row>
    <row r="7">
      <c r="A7" t="inlineStr">
        <is>
          <t>Investment income</t>
        </is>
      </c>
      <c r="B7" s="4" t="n">
        <v>12000</v>
      </c>
    </row>
    <row r="8">
      <c r="A8" s="5" t="inlineStr">
        <is>
          <t>TOTAL INCOME</t>
        </is>
      </c>
      <c r="B8" s="6">
        <f>SUM(B5:B7)</f>
        <v/>
      </c>
    </row>
    <row r="10" ht="24" customHeight="1">
      <c r="A10" s="7" t="inlineStr">
        <is>
          <t>EXPENSES</t>
        </is>
      </c>
      <c r="B10" s="7" t="n"/>
      <c r="C10" s="7" t="n"/>
      <c r="D10" s="7" t="n"/>
      <c r="E10" s="7" t="n"/>
      <c r="F10" s="7" t="n"/>
    </row>
    <row r="11">
      <c r="A11" s="3" t="inlineStr">
        <is>
          <t>Category</t>
        </is>
      </c>
      <c r="B11" s="3" t="inlineStr">
        <is>
          <t>Planned</t>
        </is>
      </c>
      <c r="C11" s="3" t="inlineStr">
        <is>
          <t>Actual</t>
        </is>
      </c>
      <c r="D11" s="3" t="inlineStr">
        <is>
          <t>Difference</t>
        </is>
      </c>
      <c r="E11" s="3" t="inlineStr">
        <is>
          <t>% of Income</t>
        </is>
      </c>
    </row>
    <row r="12">
      <c r="A12" t="inlineStr">
        <is>
          <t>Rent / mortgage</t>
        </is>
      </c>
      <c r="B12" s="4" t="n">
        <v>45000</v>
      </c>
      <c r="C12" s="4" t="n">
        <v>45000</v>
      </c>
      <c r="D12" s="8">
        <f>B12-C12</f>
        <v/>
      </c>
      <c r="E12" s="9">
        <f>C12/$B$8</f>
        <v/>
      </c>
    </row>
    <row r="13">
      <c r="A13" t="inlineStr">
        <is>
          <t>Utilities (electricity, water, gas)</t>
        </is>
      </c>
      <c r="B13" s="4" t="n">
        <v>8000</v>
      </c>
      <c r="C13" s="4" t="n">
        <v>7400</v>
      </c>
      <c r="D13" s="8">
        <f>B13-C13</f>
        <v/>
      </c>
      <c r="E13" s="9">
        <f>C13/$B$8</f>
        <v/>
      </c>
    </row>
    <row r="14">
      <c r="A14" t="inlineStr">
        <is>
          <t>Internet + mobile</t>
        </is>
      </c>
      <c r="B14" s="4" t="n">
        <v>4500</v>
      </c>
      <c r="C14" s="4" t="n">
        <v>4500</v>
      </c>
      <c r="D14" s="8">
        <f>B14-C14</f>
        <v/>
      </c>
      <c r="E14" s="9">
        <f>C14/$B$8</f>
        <v/>
      </c>
    </row>
    <row r="15">
      <c r="A15" t="inlineStr">
        <is>
          <t>Groceries</t>
        </is>
      </c>
      <c r="B15" s="4" t="n">
        <v>25000</v>
      </c>
      <c r="C15" s="4" t="n">
        <v>27800</v>
      </c>
      <c r="D15" s="8">
        <f>B15-C15</f>
        <v/>
      </c>
      <c r="E15" s="9">
        <f>C15/$B$8</f>
        <v/>
      </c>
    </row>
    <row r="16">
      <c r="A16" t="inlineStr">
        <is>
          <t>Transport (fuel / public)</t>
        </is>
      </c>
      <c r="B16" s="4" t="n">
        <v>12000</v>
      </c>
      <c r="C16" s="4" t="n">
        <v>11000</v>
      </c>
      <c r="D16" s="8">
        <f>B16-C16</f>
        <v/>
      </c>
      <c r="E16" s="9">
        <f>C16/$B$8</f>
        <v/>
      </c>
    </row>
    <row r="17">
      <c r="A17" t="inlineStr">
        <is>
          <t>Insurance (health, life, motor)</t>
        </is>
      </c>
      <c r="B17" s="4" t="n">
        <v>9000</v>
      </c>
      <c r="C17" s="4" t="n">
        <v>9000</v>
      </c>
      <c r="D17" s="8">
        <f>B17-C17</f>
        <v/>
      </c>
      <c r="E17" s="9">
        <f>C17/$B$8</f>
        <v/>
      </c>
    </row>
    <row r="18">
      <c r="A18" t="inlineStr">
        <is>
          <t>Savings &amp; investments</t>
        </is>
      </c>
      <c r="B18" s="4" t="n">
        <v>30000</v>
      </c>
      <c r="C18" s="4" t="n">
        <v>30000</v>
      </c>
      <c r="D18" s="8">
        <f>B18-C18</f>
        <v/>
      </c>
      <c r="E18" s="9">
        <f>C18/$B$8</f>
        <v/>
      </c>
    </row>
    <row r="19">
      <c r="A19" t="inlineStr">
        <is>
          <t>Debt repayment</t>
        </is>
      </c>
      <c r="B19" s="4" t="n">
        <v>15000</v>
      </c>
      <c r="C19" s="4" t="n">
        <v>15000</v>
      </c>
      <c r="D19" s="8">
        <f>B19-C19</f>
        <v/>
      </c>
      <c r="E19" s="9">
        <f>C19/$B$8</f>
        <v/>
      </c>
    </row>
    <row r="20">
      <c r="A20" t="inlineStr">
        <is>
          <t>Education (tuition, courses)</t>
        </is>
      </c>
      <c r="B20" s="4" t="n">
        <v>18000</v>
      </c>
      <c r="C20" s="4" t="n">
        <v>18000</v>
      </c>
      <c r="D20" s="8">
        <f>B20-C20</f>
        <v/>
      </c>
      <c r="E20" s="9">
        <f>C20/$B$8</f>
        <v/>
      </c>
    </row>
    <row r="21">
      <c r="A21" t="inlineStr">
        <is>
          <t>Childcare / school fees</t>
        </is>
      </c>
      <c r="B21" s="4" t="n">
        <v>22000</v>
      </c>
      <c r="C21" s="4" t="n">
        <v>22000</v>
      </c>
      <c r="D21" s="8">
        <f>B21-C21</f>
        <v/>
      </c>
      <c r="E21" s="9">
        <f>C21/$B$8</f>
        <v/>
      </c>
    </row>
    <row r="22">
      <c r="A22" t="inlineStr">
        <is>
          <t>Dining out</t>
        </is>
      </c>
      <c r="B22" s="4" t="n">
        <v>8000</v>
      </c>
      <c r="C22" s="4" t="n">
        <v>11200</v>
      </c>
      <c r="D22" s="8">
        <f>B22-C22</f>
        <v/>
      </c>
      <c r="E22" s="9">
        <f>C22/$B$8</f>
        <v/>
      </c>
    </row>
    <row r="23">
      <c r="A23" t="inlineStr">
        <is>
          <t>Entertainment</t>
        </is>
      </c>
      <c r="B23" s="4" t="n">
        <v>5000</v>
      </c>
      <c r="C23" s="4" t="n">
        <v>4300</v>
      </c>
      <c r="D23" s="8">
        <f>B23-C23</f>
        <v/>
      </c>
      <c r="E23" s="9">
        <f>C23/$B$8</f>
        <v/>
      </c>
    </row>
    <row r="24">
      <c r="A24" t="inlineStr">
        <is>
          <t>Clothing &amp; personal care</t>
        </is>
      </c>
      <c r="B24" s="4" t="n">
        <v>6000</v>
      </c>
      <c r="C24" s="4" t="n">
        <v>4100</v>
      </c>
      <c r="D24" s="8">
        <f>B24-C24</f>
        <v/>
      </c>
      <c r="E24" s="9">
        <f>C24/$B$8</f>
        <v/>
      </c>
    </row>
    <row r="25">
      <c r="A25" t="inlineStr">
        <is>
          <t>Health &amp; wellness</t>
        </is>
      </c>
      <c r="B25" s="4" t="n">
        <v>4000</v>
      </c>
      <c r="C25" s="4" t="n">
        <v>5200</v>
      </c>
      <c r="D25" s="8">
        <f>B25-C25</f>
        <v/>
      </c>
      <c r="E25" s="9">
        <f>C25/$B$8</f>
        <v/>
      </c>
    </row>
    <row r="26">
      <c r="A26" t="inlineStr">
        <is>
          <t>Miscellaneous</t>
        </is>
      </c>
      <c r="B26" s="4" t="n">
        <v>5000</v>
      </c>
      <c r="C26" s="4" t="n">
        <v>3800</v>
      </c>
      <c r="D26" s="8">
        <f>B26-C26</f>
        <v/>
      </c>
      <c r="E26" s="9">
        <f>C26/$B$8</f>
        <v/>
      </c>
    </row>
    <row r="27">
      <c r="A27" s="10" t="inlineStr">
        <is>
          <t>TOTAL EXPENSES</t>
        </is>
      </c>
      <c r="B27" s="11">
        <f>SUM(B12:B26)</f>
        <v/>
      </c>
      <c r="C27" s="11">
        <f>SUM(C12:C26)</f>
        <v/>
      </c>
      <c r="D27" s="12">
        <f>B27-C27</f>
        <v/>
      </c>
    </row>
    <row r="29">
      <c r="A29" s="13" t="inlineStr">
        <is>
          <t>NET SAVINGS</t>
        </is>
      </c>
      <c r="B29" s="14">
        <f>B8-C27</f>
        <v/>
      </c>
      <c r="C29" s="13" t="inlineStr">
        <is>
          <t>SAVINGS RATE</t>
        </is>
      </c>
      <c r="D29" s="15">
        <f>B29/B8</f>
        <v/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